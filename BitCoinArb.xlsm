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L:\Work\Dev\Python\BitCoinArb\"/>
    </mc:Choice>
  </mc:AlternateContent>
  <bookViews>
    <workbookView xWindow="0" yWindow="0" windowWidth="28800" windowHeight="12435" activeTab="1"/>
  </bookViews>
  <sheets>
    <sheet name="Rates" sheetId="1" r:id="rId1"/>
    <sheet name="Exchanges" sheetId="5" r:id="rId2"/>
  </sheets>
  <functionGroups builtInGroupCount="18"/>
  <definedNames>
    <definedName name="igot_ask" localSheetId="1">Exchanges!#REF!</definedName>
    <definedName name="igot_ask" localSheetId="0">Rates!#REF!</definedName>
    <definedName name="igot_bid" localSheetId="1">Exchanges!#REF!</definedName>
    <definedName name="igot_bid" localSheetId="0">Rates!#REF!</definedName>
    <definedName name="okcoin_ask" localSheetId="1">Exchanges!#REF!</definedName>
    <definedName name="okcoin_ask" localSheetId="0">Rates!#REF!</definedName>
    <definedName name="okcoin_bid" localSheetId="1">Exchanges!#REF!</definedName>
    <definedName name="okcoin_bid" localSheetId="0">Rates!#REF!</definedName>
    <definedName name="okcoin_tick_url" localSheetId="1">Exchanges!#REF!</definedName>
    <definedName name="okcoin_tick_url" localSheetId="0">Rates!#REF!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5" l="1"/>
  <c r="G7" i="1"/>
  <c r="H9" i="1"/>
  <c r="G9" i="1"/>
  <c r="G8" i="1"/>
  <c r="G6" i="1"/>
  <c r="H8" i="1"/>
  <c r="H7" i="1"/>
  <c r="H6" i="1"/>
  <c r="H21" i="1" l="1"/>
  <c r="L5" i="1" s="1"/>
  <c r="G21" i="1"/>
  <c r="L6" i="1" l="1"/>
  <c r="L8" i="1"/>
  <c r="L9" i="1" s="1"/>
</calcChain>
</file>

<file path=xl/sharedStrings.xml><?xml version="1.0" encoding="utf-8"?>
<sst xmlns="http://schemas.openxmlformats.org/spreadsheetml/2006/main" count="140" uniqueCount="111">
  <si>
    <t>Bid</t>
  </si>
  <si>
    <t>Ask</t>
  </si>
  <si>
    <t>igot</t>
  </si>
  <si>
    <t>okcoin</t>
  </si>
  <si>
    <t>Exchange</t>
  </si>
  <si>
    <t>ALL FIGURES IN USD</t>
  </si>
  <si>
    <t>https://www.okcoin.com/api/ticker.do?ok=1</t>
  </si>
  <si>
    <t>BTC-e</t>
  </si>
  <si>
    <t>Bitstamp</t>
  </si>
  <si>
    <t>Fee</t>
  </si>
  <si>
    <t xml:space="preserve">https://btc-e.com/api/2/btc_usd/fee </t>
  </si>
  <si>
    <t>N/A</t>
  </si>
  <si>
    <t>https://btc-e.com/api/2/btc_usd/ticker</t>
  </si>
  <si>
    <t>https://www.bitstamp.net/api/ticker/</t>
  </si>
  <si>
    <t>https://www.igot.com/api/v1/stats/buy</t>
  </si>
  <si>
    <t>https://www.igot.com/api/v1/stats/sell</t>
  </si>
  <si>
    <t>Ask URL</t>
  </si>
  <si>
    <t>Bid URL</t>
  </si>
  <si>
    <t>Fee URL</t>
  </si>
  <si>
    <t>Best exchange to BUY</t>
  </si>
  <si>
    <t>Best exchange to SELL</t>
  </si>
  <si>
    <t>Profit (%)</t>
  </si>
  <si>
    <t>Profit (USD)</t>
  </si>
  <si>
    <t>https://api.kraken.com/0/public/Ticker?pair=XBTUSD</t>
  </si>
  <si>
    <t>Kraken</t>
  </si>
  <si>
    <t>Type</t>
  </si>
  <si>
    <t>SingleAsset - SingleURL</t>
  </si>
  <si>
    <t>SingleAsset - VariablePriceTypeURL</t>
  </si>
  <si>
    <t>MultiAsset - VariableAssetURL</t>
  </si>
  <si>
    <t>Bittrex</t>
  </si>
  <si>
    <t>https://bittrex.com/api/v1.1/public/getmarketsummary?market=btc-ltc</t>
  </si>
  <si>
    <t>List of exchange + Arbitrage:</t>
  </si>
  <si>
    <t>http://www.cryptocoincharts.info/markets/info</t>
  </si>
  <si>
    <t>Login</t>
  </si>
  <si>
    <t>Pwd</t>
  </si>
  <si>
    <t>Cryptsy</t>
  </si>
  <si>
    <t>kleinmateo@gmail.com</t>
  </si>
  <si>
    <t>C********1***</t>
  </si>
  <si>
    <t>Depth URL</t>
  </si>
  <si>
    <t>http://pubapi.cryptsy.com/api.php?method=singleorderdata&amp;marketid=2</t>
  </si>
  <si>
    <t>http://crypt.la/best-cryptocurrency-exchanges/</t>
  </si>
  <si>
    <t>Blog - list of exchanges:</t>
  </si>
  <si>
    <t>http://pubapi.cryptsy.com/api.php?method=marketdatav2</t>
  </si>
  <si>
    <t>Need to retrieve markets id on separate URL</t>
  </si>
  <si>
    <t>Bter</t>
  </si>
  <si>
    <t>http://data.bter.com/api/1/depth/btc_usd</t>
  </si>
  <si>
    <t>https://api.vircurex.com/api/orderbook.json?base=NMC&amp;alt=BTC</t>
  </si>
  <si>
    <t>Vircurex</t>
  </si>
  <si>
    <t>Coins-E</t>
  </si>
  <si>
    <t>https://www.coins-e.com/api/v2/market/WDC_BTC/depth/</t>
  </si>
  <si>
    <t>Crypto-Trade</t>
  </si>
  <si>
    <t>https://crypto-trade.com/api/1/depth/btc_usd</t>
  </si>
  <si>
    <t>HitBTC</t>
  </si>
  <si>
    <t>https://api.hitbtc.com/api/1/public/BTCUSD/orderbook</t>
  </si>
  <si>
    <t>OKCoin</t>
  </si>
  <si>
    <t>https://www.okcoin.com/api/depth.do?symbol=btc_usd&amp;ok=1</t>
  </si>
  <si>
    <t>only BTCUSD and LTCUSD</t>
  </si>
  <si>
    <t>https://api.kraken.com/0/public/Depth?pair=LTCUSD</t>
  </si>
  <si>
    <t>https://bittrex.com/api/v1.1/public/getorderbook?market=BTC-LTC&amp;type=both&amp;depth=50</t>
  </si>
  <si>
    <t>Poloniex</t>
  </si>
  <si>
    <t>https://poloniex.com/public?command=returnOrderBook&amp;currencyPair=BTC_NXT&amp;depth=50</t>
  </si>
  <si>
    <t>https://btc-e.com/api/3/depth/ppc_btc</t>
  </si>
  <si>
    <t>Info URL</t>
  </si>
  <si>
    <t>https://btc-e.com/api/3/info</t>
  </si>
  <si>
    <t>Other URL - 1</t>
  </si>
  <si>
    <t>Comment - 1</t>
  </si>
  <si>
    <t>b'\{".+":\{"asks":\[(.*)\],"bids":\[(.*)\]\}\}'</t>
  </si>
  <si>
    <t>Info URL - regex</t>
  </si>
  <si>
    <t xml:space="preserve">https://bittrex.com/api/v1.1/public/getmarkets </t>
  </si>
  <si>
    <t>b'"MarketName":"(\w+)-(\w+)"'</t>
  </si>
  <si>
    <t>b'"(\w+)_(\w+)":\{"decimal_places":'</t>
  </si>
  <si>
    <t>'https://data.bter.com/api/1/marketinfo'</t>
  </si>
  <si>
    <t>https://www.coins-e.com/api/v2/markets/data/</t>
  </si>
  <si>
    <t>b'"(\w+)_(\w+)": *\{"status":'</t>
  </si>
  <si>
    <t>https://crypto-trade.com/api/1/getpairs</t>
  </si>
  <si>
    <t>b'"(\w+)_(\w+)":\{"min_amount":'</t>
  </si>
  <si>
    <t>b'"(\w+)\\\/(\w+)":\{"marketid":'</t>
  </si>
  <si>
    <t>https://api.hitbtc.com/api/1/public/symbols</t>
  </si>
  <si>
    <t>b'"symbol":"(\w+)"'</t>
  </si>
  <si>
    <t>https://api.kraken.com/0/public/AssetPairs</t>
  </si>
  <si>
    <t>b'"altname":"(\w+)",'</t>
  </si>
  <si>
    <t>n/a</t>
  </si>
  <si>
    <t>https://poloniex.com/public?command=returnTicker</t>
  </si>
  <si>
    <t>b'"(\w+)_(\w+)":\{"last":'</t>
  </si>
  <si>
    <t>available but difficult to exploit for now</t>
  </si>
  <si>
    <t>b'\{".+":\{"buy":\[(.*)\],"sell":\[(.*)\]\}\}'</t>
  </si>
  <si>
    <t>b'\{"Quantity":([\d\.]*),"Rate":([\d\.]*)\}'</t>
  </si>
  <si>
    <t>Depth URL - regex_price_volume</t>
  </si>
  <si>
    <t>Depth URL - regex_bid_ask</t>
  </si>
  <si>
    <t>b'\\\n\{.*,"asks":\[(.*)\],"bids":\[(.*)\]\}'</t>
  </si>
  <si>
    <t>b'\[([\d\.]*),([\d\.]*)\]'</t>
  </si>
  <si>
    <t>b'.*\{"bids": \[(.*)\], "asks": \[(.*)\]\},.*\}'</t>
  </si>
  <si>
    <t>b'\{"q": "([\d\.]*)", "cq": "[\d\.]*", "r": "([\d\.]*)", "n": \d+\}'</t>
  </si>
  <si>
    <t>b'\{"asks":\[(.*)\],"bids":\[(.*)\]\}'</t>
  </si>
  <si>
    <t>b'\["([\d\.]*)","([\d\.]*)"\]'</t>
  </si>
  <si>
    <t>b'\{"asks":\[(.*)\],"bids":\[(.*)\],"isFrozen":.*\}'</t>
  </si>
  <si>
    <t>b'\["([\d\.]*)",([\d\.]*)\]'</t>
  </si>
  <si>
    <t>b'\{"asks":\[(.*)\],"bids":\[(.*)\],.*\}'</t>
  </si>
  <si>
    <t>b'.*\{"asks":\[(.*)\],"bids":\[(.*)\]\}\}\}'</t>
  </si>
  <si>
    <t>b'\["([\d\.]*)","([\d\.]*)",[\d]*\]'</t>
  </si>
  <si>
    <t>b'.*"sellorders":\[(.*)\],"buyorders":\[(.*)\]\}\}\}'</t>
  </si>
  <si>
    <t>b'\{"price":"([\d\.]*)","quantity":"([\d\.]*)","total":"[\d.]*"\}'</t>
  </si>
  <si>
    <t>coinbase</t>
  </si>
  <si>
    <t>only BTCUSD</t>
  </si>
  <si>
    <t>Bitfinex</t>
  </si>
  <si>
    <t>https://api.bitfinex.com/v1/symbols</t>
  </si>
  <si>
    <t>https://api.bitfinex.com/v1/book/btcusd</t>
  </si>
  <si>
    <t>b'\"(\w+)"'</t>
  </si>
  <si>
    <t>b'\{"price":"([\d\.]*)","amount":"([\d\.]*)","timestamp":"[\d\.]*"\}'</t>
  </si>
  <si>
    <t>b'\{"bids":\[(.*)\],"asks":\[(.*)\]\}'</t>
  </si>
  <si>
    <t>C********H**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</si>
</sst>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FF000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2" borderId="3" xfId="0" applyFont="1" applyFill="1" applyBorder="1" applyAlignment="1">
      <alignment horizontal="right"/>
    </xf>
    <xf numFmtId="0" fontId="1" fillId="2" borderId="4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right"/>
    </xf>
    <xf numFmtId="10" fontId="1" fillId="0" borderId="3" xfId="0" applyNumberFormat="1" applyFont="1" applyBorder="1" applyAlignment="1">
      <alignment horizontal="right"/>
    </xf>
    <xf numFmtId="10" fontId="1" fillId="0" borderId="4" xfId="0" applyNumberFormat="1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4" borderId="2" xfId="0" applyFont="1" applyFill="1" applyBorder="1" applyAlignment="1">
      <alignment horizontal="left"/>
    </xf>
    <xf numFmtId="0" fontId="1" fillId="4" borderId="4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right"/>
    </xf>
    <xf numFmtId="10" fontId="3" fillId="2" borderId="4" xfId="0" applyNumberFormat="1" applyFont="1" applyFill="1" applyBorder="1" applyAlignment="1">
      <alignment horizontal="right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5" borderId="3" xfId="0" applyFont="1" applyFill="1" applyBorder="1" applyAlignment="1">
      <alignment horizontal="left"/>
    </xf>
    <xf numFmtId="0" fontId="1" fillId="5" borderId="3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</xdr:row>
          <xdr:rowOff>47625</xdr:rowOff>
        </xdr:from>
        <xdr:to>
          <xdr:col>7</xdr:col>
          <xdr:colOff>514350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ates"/>
  <dimension ref="A1:L29"/>
  <sheetViews>
    <sheetView showGridLines="0" workbookViewId="0">
      <selection activeCell="B11" sqref="B11"/>
    </sheetView>
  </sheetViews>
  <sheetFormatPr defaultRowHeight="11.25" outlineLevelRow="1" outlineLevelCol="1" x14ac:dyDescent="0.2"/>
  <cols>
    <col min="1" max="1" width="1.7109375" style="1" customWidth="1"/>
    <col min="2" max="2" width="9.140625" style="1"/>
    <col min="3" max="3" width="38.7109375" style="1" customWidth="1" outlineLevel="1"/>
    <col min="4" max="4" width="31.7109375" style="1" customWidth="1" outlineLevel="1"/>
    <col min="5" max="6" width="26" style="1" customWidth="1" outlineLevel="1"/>
    <col min="7" max="9" width="9.140625" style="1"/>
    <col min="10" max="10" width="1.7109375" style="1" customWidth="1"/>
    <col min="11" max="11" width="17.42578125" style="1" bestFit="1" customWidth="1"/>
    <col min="12" max="12" width="7.85546875" style="1" customWidth="1"/>
    <col min="13" max="13" width="1.7109375" style="1" customWidth="1"/>
    <col min="14" max="16384" width="9.140625" style="1"/>
  </cols>
  <sheetData>
    <row r="1" spans="1:12" x14ac:dyDescent="0.2">
      <c r="A1" s="4" t="s">
        <v>5</v>
      </c>
    </row>
    <row r="2" spans="1:12" x14ac:dyDescent="0.2">
      <c r="A2" s="4"/>
    </row>
    <row r="3" spans="1:12" x14ac:dyDescent="0.2">
      <c r="A3" s="4"/>
    </row>
    <row r="4" spans="1:12" x14ac:dyDescent="0.2">
      <c r="A4" s="4"/>
    </row>
    <row r="5" spans="1:12" x14ac:dyDescent="0.2">
      <c r="B5" s="13" t="s">
        <v>4</v>
      </c>
      <c r="C5" s="13" t="s">
        <v>17</v>
      </c>
      <c r="D5" s="13" t="s">
        <v>16</v>
      </c>
      <c r="E5" s="13" t="s">
        <v>18</v>
      </c>
      <c r="F5" s="13" t="s">
        <v>25</v>
      </c>
      <c r="G5" s="13" t="s">
        <v>0</v>
      </c>
      <c r="H5" s="13" t="s">
        <v>1</v>
      </c>
      <c r="I5" s="13" t="s">
        <v>9</v>
      </c>
      <c r="K5" s="11" t="s">
        <v>19</v>
      </c>
      <c r="L5" s="16" t="str">
        <f>INDEX($B$6:$B$20,MATCH(H21,H6:H20,0))</f>
        <v>okcoin</v>
      </c>
    </row>
    <row r="6" spans="1:12" x14ac:dyDescent="0.2">
      <c r="B6" s="2" t="s">
        <v>3</v>
      </c>
      <c r="C6" s="2" t="s">
        <v>6</v>
      </c>
      <c r="D6" s="2" t="s">
        <v>6</v>
      </c>
      <c r="E6" s="2" t="s">
        <v>11</v>
      </c>
      <c r="F6" s="1" t="s">
        <v>26</v>
      </c>
      <c r="G6" s="5">
        <f t="shared" ref="G6:H9" si="0">getExchangeInfo($B6,C6,G$5)</f>
        <v>354.28</v>
      </c>
      <c r="H6" s="5">
        <f t="shared" si="0"/>
        <v>354.29</v>
      </c>
      <c r="I6" s="8"/>
      <c r="K6" s="12" t="s">
        <v>20</v>
      </c>
      <c r="L6" s="17" t="str">
        <f>INDEX($B$6:$B$20,MATCH(G21,G6:G20,0))</f>
        <v>igot</v>
      </c>
    </row>
    <row r="7" spans="1:12" x14ac:dyDescent="0.2">
      <c r="B7" s="2" t="s">
        <v>2</v>
      </c>
      <c r="C7" s="2" t="s">
        <v>15</v>
      </c>
      <c r="D7" s="2" t="s">
        <v>14</v>
      </c>
      <c r="E7" s="2" t="s">
        <v>11</v>
      </c>
      <c r="F7" s="1" t="s">
        <v>27</v>
      </c>
      <c r="G7" s="5">
        <f t="shared" si="0"/>
        <v>365.56</v>
      </c>
      <c r="H7" s="5">
        <f t="shared" si="0"/>
        <v>371.06</v>
      </c>
      <c r="I7" s="8">
        <v>0.01</v>
      </c>
    </row>
    <row r="8" spans="1:12" x14ac:dyDescent="0.2">
      <c r="B8" s="2" t="s">
        <v>7</v>
      </c>
      <c r="C8" s="2" t="s">
        <v>12</v>
      </c>
      <c r="D8" s="2" t="s">
        <v>12</v>
      </c>
      <c r="E8" s="2" t="s">
        <v>10</v>
      </c>
      <c r="F8" s="1" t="s">
        <v>28</v>
      </c>
      <c r="G8" s="5">
        <f t="shared" si="0"/>
        <v>353.80700000000002</v>
      </c>
      <c r="H8" s="5">
        <f t="shared" si="0"/>
        <v>354.45</v>
      </c>
      <c r="I8" s="8">
        <v>2E-3</v>
      </c>
      <c r="K8" s="11" t="s">
        <v>22</v>
      </c>
      <c r="L8" s="14">
        <f>G21-H21</f>
        <v>11.269999999999982</v>
      </c>
    </row>
    <row r="9" spans="1:12" x14ac:dyDescent="0.2">
      <c r="B9" s="2" t="s">
        <v>8</v>
      </c>
      <c r="C9" s="2" t="s">
        <v>13</v>
      </c>
      <c r="D9" s="2" t="s">
        <v>13</v>
      </c>
      <c r="E9" s="2" t="s">
        <v>11</v>
      </c>
      <c r="F9" s="1" t="s">
        <v>26</v>
      </c>
      <c r="G9" s="5">
        <f t="shared" si="0"/>
        <v>356.93</v>
      </c>
      <c r="H9" s="5">
        <f t="shared" si="0"/>
        <v>357.58</v>
      </c>
      <c r="I9" s="8">
        <v>5.0000000000000001E-3</v>
      </c>
      <c r="K9" s="12" t="s">
        <v>21</v>
      </c>
      <c r="L9" s="15">
        <f>L8/AVERAGE(G21:H21)</f>
        <v>3.1312078905327445E-2</v>
      </c>
    </row>
    <row r="10" spans="1:12" x14ac:dyDescent="0.2">
      <c r="B10" s="2" t="s">
        <v>24</v>
      </c>
      <c r="C10" s="2" t="s">
        <v>23</v>
      </c>
      <c r="D10" s="2" t="s">
        <v>23</v>
      </c>
      <c r="E10" s="2" t="s">
        <v>11</v>
      </c>
      <c r="F10" s="1" t="s">
        <v>28</v>
      </c>
      <c r="G10" s="5"/>
      <c r="H10" s="5"/>
      <c r="I10" s="8"/>
    </row>
    <row r="11" spans="1:12" x14ac:dyDescent="0.2">
      <c r="B11" s="2" t="s">
        <v>29</v>
      </c>
      <c r="C11" s="2" t="s">
        <v>30</v>
      </c>
      <c r="D11" s="2" t="s">
        <v>30</v>
      </c>
      <c r="E11" s="2" t="s">
        <v>11</v>
      </c>
      <c r="F11" s="2" t="s">
        <v>28</v>
      </c>
      <c r="G11" s="5"/>
      <c r="H11" s="5"/>
      <c r="I11" s="8"/>
    </row>
    <row r="12" spans="1:12" x14ac:dyDescent="0.2">
      <c r="B12" s="2"/>
      <c r="C12" s="2"/>
      <c r="D12" s="2"/>
      <c r="E12" s="2"/>
      <c r="F12" s="2"/>
      <c r="G12" s="5"/>
      <c r="H12" s="5"/>
      <c r="I12" s="8"/>
    </row>
    <row r="13" spans="1:12" x14ac:dyDescent="0.2">
      <c r="B13" s="2"/>
      <c r="C13" s="2"/>
      <c r="D13" s="2"/>
      <c r="E13" s="2"/>
      <c r="F13" s="2"/>
      <c r="G13" s="5"/>
      <c r="H13" s="5"/>
      <c r="I13" s="8"/>
    </row>
    <row r="14" spans="1:12" x14ac:dyDescent="0.2">
      <c r="B14" s="2"/>
      <c r="C14" s="2"/>
      <c r="D14" s="2"/>
      <c r="E14" s="2"/>
      <c r="F14" s="2"/>
      <c r="G14" s="5"/>
      <c r="H14" s="5"/>
      <c r="I14" s="8"/>
    </row>
    <row r="15" spans="1:12" x14ac:dyDescent="0.2">
      <c r="B15" s="2"/>
      <c r="C15" s="2"/>
      <c r="D15" s="2"/>
      <c r="E15" s="2"/>
      <c r="F15" s="2"/>
      <c r="G15" s="5"/>
      <c r="H15" s="5"/>
      <c r="I15" s="8"/>
    </row>
    <row r="16" spans="1:12" x14ac:dyDescent="0.2">
      <c r="B16" s="2"/>
      <c r="C16" s="2"/>
      <c r="D16" s="2"/>
      <c r="E16" s="2"/>
      <c r="F16" s="2"/>
      <c r="G16" s="5"/>
      <c r="H16" s="5"/>
      <c r="I16" s="8"/>
    </row>
    <row r="17" spans="2:9" x14ac:dyDescent="0.2">
      <c r="B17" s="2"/>
      <c r="C17" s="2"/>
      <c r="D17" s="2"/>
      <c r="E17" s="2"/>
      <c r="F17" s="2"/>
      <c r="G17" s="5"/>
      <c r="H17" s="5"/>
      <c r="I17" s="8"/>
    </row>
    <row r="18" spans="2:9" outlineLevel="1" x14ac:dyDescent="0.2">
      <c r="B18" s="2"/>
      <c r="C18" s="2"/>
      <c r="D18" s="2"/>
      <c r="E18" s="2"/>
      <c r="F18" s="2"/>
      <c r="G18" s="5"/>
      <c r="H18" s="5"/>
      <c r="I18" s="8"/>
    </row>
    <row r="19" spans="2:9" outlineLevel="1" x14ac:dyDescent="0.2">
      <c r="B19" s="2"/>
      <c r="C19" s="2"/>
      <c r="D19" s="2"/>
      <c r="E19" s="2"/>
      <c r="F19" s="2"/>
      <c r="G19" s="5"/>
      <c r="H19" s="5"/>
      <c r="I19" s="8"/>
    </row>
    <row r="20" spans="2:9" x14ac:dyDescent="0.2">
      <c r="B20" s="3"/>
      <c r="C20" s="3"/>
      <c r="D20" s="3"/>
      <c r="E20" s="3"/>
      <c r="F20" s="3"/>
      <c r="G20" s="6"/>
      <c r="H20" s="6"/>
      <c r="I20" s="9"/>
    </row>
    <row r="21" spans="2:9" x14ac:dyDescent="0.2">
      <c r="G21" s="7">
        <f>MAX(G6:G20)</f>
        <v>365.56</v>
      </c>
      <c r="H21" s="7">
        <f>MIN(H6:H20)</f>
        <v>354.29</v>
      </c>
      <c r="I21" s="10"/>
    </row>
    <row r="25" spans="2:9" x14ac:dyDescent="0.2">
      <c r="C25" s="1" t="s">
        <v>31</v>
      </c>
    </row>
    <row r="26" spans="2:9" x14ac:dyDescent="0.2">
      <c r="C26" s="4" t="s">
        <v>32</v>
      </c>
    </row>
    <row r="28" spans="2:9" x14ac:dyDescent="0.2">
      <c r="C28" s="1" t="s">
        <v>41</v>
      </c>
    </row>
    <row r="29" spans="2:9" x14ac:dyDescent="0.2">
      <c r="C29" s="4" t="s">
        <v>40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tRates.refresh">
                <anchor moveWithCells="1" sizeWithCells="1">
                  <from>
                    <xdr:col>6</xdr:col>
                    <xdr:colOff>57150</xdr:colOff>
                    <xdr:row>1</xdr:row>
                    <xdr:rowOff>47625</xdr:rowOff>
                  </from>
                  <to>
                    <xdr:col>7</xdr:col>
                    <xdr:colOff>514350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Rates2"/>
  <dimension ref="A1:K20"/>
  <sheetViews>
    <sheetView showGridLines="0" tabSelected="1" workbookViewId="0"/>
  </sheetViews>
  <sheetFormatPr defaultRowHeight="11.25" outlineLevelCol="1" x14ac:dyDescent="0.2"/>
  <cols>
    <col min="1" max="1" width="1.7109375" style="1" customWidth="1"/>
    <col min="2" max="2" width="10.140625" style="1" bestFit="1" customWidth="1"/>
    <col min="3" max="3" width="16.5703125" style="1" customWidth="1" outlineLevel="1"/>
    <col min="4" max="4" width="9.140625" style="1" customWidth="1" outlineLevel="1"/>
    <col min="5" max="5" width="32.7109375" style="1" bestFit="1" customWidth="1"/>
    <col min="6" max="6" width="26.28515625" style="1" bestFit="1" customWidth="1"/>
    <col min="7" max="7" width="65.5703125" style="1" bestFit="1" customWidth="1"/>
    <col min="8" max="8" width="27.28515625" style="1" bestFit="1" customWidth="1"/>
    <col min="9" max="9" width="42.85546875" style="1" bestFit="1" customWidth="1"/>
    <col min="10" max="10" width="32.140625" style="1" bestFit="1" customWidth="1"/>
    <col min="11" max="11" width="40.85546875" style="1" bestFit="1" customWidth="1"/>
    <col min="12" max="16384" width="9.140625" style="1"/>
  </cols>
  <sheetData>
    <row r="1" spans="1:11" x14ac:dyDescent="0.2">
      <c r="A1" s="4"/>
    </row>
    <row r="2" spans="1:11" x14ac:dyDescent="0.2">
      <c r="B2" s="13" t="s">
        <v>4</v>
      </c>
      <c r="C2" s="13" t="s">
        <v>33</v>
      </c>
      <c r="D2" s="13" t="s">
        <v>34</v>
      </c>
      <c r="E2" s="13" t="s">
        <v>62</v>
      </c>
      <c r="F2" s="13" t="s">
        <v>67</v>
      </c>
      <c r="G2" s="13" t="s">
        <v>38</v>
      </c>
      <c r="H2" s="13" t="s">
        <v>88</v>
      </c>
      <c r="I2" s="13" t="s">
        <v>87</v>
      </c>
      <c r="J2" s="13" t="s">
        <v>65</v>
      </c>
      <c r="K2" s="13" t="s">
        <v>64</v>
      </c>
    </row>
    <row r="3" spans="1:11" x14ac:dyDescent="0.2">
      <c r="B3" s="19" t="s">
        <v>104</v>
      </c>
      <c r="C3" s="18"/>
      <c r="D3" s="18"/>
      <c r="E3" s="19" t="s">
        <v>105</v>
      </c>
      <c r="F3" s="19" t="s">
        <v>107</v>
      </c>
      <c r="G3" s="19" t="s">
        <v>106</v>
      </c>
      <c r="H3" s="19" t="s">
        <v>109</v>
      </c>
      <c r="I3" s="19" t="s">
        <v>108</v>
      </c>
      <c r="J3" s="19"/>
      <c r="K3" s="19"/>
    </row>
    <row r="4" spans="1:11" x14ac:dyDescent="0.2">
      <c r="B4" s="2" t="s">
        <v>29</v>
      </c>
      <c r="C4" s="2"/>
      <c r="D4" s="2"/>
      <c r="E4" s="2" t="s">
        <v>68</v>
      </c>
      <c r="F4" s="2" t="s">
        <v>69</v>
      </c>
      <c r="G4" s="2" t="s">
        <v>58</v>
      </c>
      <c r="H4" s="2" t="s">
        <v>85</v>
      </c>
      <c r="I4" s="2" t="s">
        <v>86</v>
      </c>
      <c r="J4" s="2"/>
      <c r="K4" s="2"/>
    </row>
    <row r="5" spans="1:11" x14ac:dyDescent="0.2">
      <c r="B5" s="2" t="s">
        <v>7</v>
      </c>
      <c r="C5" s="2" t="s">
        <v>36</v>
      </c>
      <c r="D5" s="2" t="s">
        <v>37</v>
      </c>
      <c r="E5" s="2" t="s">
        <v>63</v>
      </c>
      <c r="F5" s="2" t="s">
        <v>70</v>
      </c>
      <c r="G5" s="2" t="s">
        <v>61</v>
      </c>
      <c r="H5" s="2" t="s">
        <v>66</v>
      </c>
      <c r="I5" s="2" t="s">
        <v>90</v>
      </c>
      <c r="J5" s="2"/>
      <c r="K5" s="2"/>
    </row>
    <row r="6" spans="1:11" x14ac:dyDescent="0.2">
      <c r="B6" s="2" t="s">
        <v>44</v>
      </c>
      <c r="C6" s="2"/>
      <c r="D6" s="2"/>
      <c r="E6" s="2" t="s">
        <v>71</v>
      </c>
      <c r="F6" s="2" t="s">
        <v>70</v>
      </c>
      <c r="G6" s="2" t="s">
        <v>45</v>
      </c>
      <c r="H6" s="2" t="s">
        <v>89</v>
      </c>
      <c r="I6" s="2" t="s">
        <v>90</v>
      </c>
      <c r="J6" s="2"/>
      <c r="K6" s="2"/>
    </row>
    <row r="7" spans="1:11" x14ac:dyDescent="0.2">
      <c r="B7" s="2" t="s">
        <v>102</v>
      </c>
      <c r="C7" s="2"/>
      <c r="D7" s="2"/>
      <c r="E7" s="2" t="s">
        <v>81</v>
      </c>
      <c r="F7" s="2" t="s">
        <v>81</v>
      </c>
      <c r="G7" s="2" t="s">
        <v>81</v>
      </c>
      <c r="H7" s="2" t="s">
        <v>81</v>
      </c>
      <c r="I7" s="2" t="s">
        <v>81</v>
      </c>
      <c r="J7" s="2" t="s">
        <v>103</v>
      </c>
      <c r="K7" s="2"/>
    </row>
    <row r="8" spans="1:11" x14ac:dyDescent="0.2">
      <c r="B8" s="2" t="s">
        <v>48</v>
      </c>
      <c r="C8" s="2"/>
      <c r="D8" s="2"/>
      <c r="E8" s="2" t="s">
        <v>72</v>
      </c>
      <c r="F8" s="2" t="s">
        <v>73</v>
      </c>
      <c r="G8" s="2" t="s">
        <v>49</v>
      </c>
      <c r="H8" s="2" t="s">
        <v>91</v>
      </c>
      <c r="I8" s="2" t="s">
        <v>92</v>
      </c>
      <c r="J8" s="2"/>
      <c r="K8" s="2"/>
    </row>
    <row r="9" spans="1:11" x14ac:dyDescent="0.2">
      <c r="B9" s="2" t="s">
        <v>50</v>
      </c>
      <c r="C9" s="2"/>
      <c r="D9" s="2"/>
      <c r="E9" s="2" t="s">
        <v>74</v>
      </c>
      <c r="F9" s="2" t="s">
        <v>75</v>
      </c>
      <c r="G9" s="2" t="s">
        <v>51</v>
      </c>
      <c r="H9" s="2" t="s">
        <v>93</v>
      </c>
      <c r="I9" s="2" t="s">
        <v>94</v>
      </c>
      <c r="J9" s="2"/>
      <c r="K9" s="2"/>
    </row>
    <row r="10" spans="1:11" x14ac:dyDescent="0.2">
      <c r="B10" s="2" t="s">
        <v>35</v>
      </c>
      <c r="C10" s="2"/>
      <c r="D10" s="2"/>
      <c r="E10" s="2" t="s">
        <v>42</v>
      </c>
      <c r="F10" s="2" t="s">
        <v>76</v>
      </c>
      <c r="G10" s="2" t="s">
        <v>39</v>
      </c>
      <c r="H10" s="2" t="s">
        <v>100</v>
      </c>
      <c r="I10" s="2" t="s">
        <v>101</v>
      </c>
      <c r="J10" s="2" t="s">
        <v>43</v>
      </c>
      <c r="K10" s="2" t="s">
        <v>42</v>
      </c>
    </row>
    <row r="11" spans="1:11" x14ac:dyDescent="0.2">
      <c r="B11" s="2" t="s">
        <v>52</v>
      </c>
      <c r="C11" s="2" t="s">
        <v>36</v>
      </c>
      <c r="D11" s="2" t="s">
        <v>110</v>
      </c>
      <c r="E11" s="2" t="s">
        <v>77</v>
      </c>
      <c r="F11" s="2" t="s">
        <v>78</v>
      </c>
      <c r="G11" s="2" t="s">
        <v>53</v>
      </c>
      <c r="H11" s="2" t="s">
        <v>93</v>
      </c>
      <c r="I11" s="2" t="s">
        <v>94</v>
      </c>
      <c r="J11" s="2"/>
      <c r="K11" s="2"/>
    </row>
    <row r="12" spans="1:11" x14ac:dyDescent="0.2">
      <c r="B12" s="2" t="s">
        <v>24</v>
      </c>
      <c r="C12" s="2"/>
      <c r="D12" s="2"/>
      <c r="E12" s="2" t="s">
        <v>79</v>
      </c>
      <c r="F12" s="2" t="s">
        <v>80</v>
      </c>
      <c r="G12" s="2" t="s">
        <v>57</v>
      </c>
      <c r="H12" s="2" t="s">
        <v>98</v>
      </c>
      <c r="I12" s="2" t="s">
        <v>99</v>
      </c>
      <c r="J12" s="2"/>
      <c r="K12" s="2"/>
    </row>
    <row r="13" spans="1:11" x14ac:dyDescent="0.2">
      <c r="B13" s="2" t="s">
        <v>54</v>
      </c>
      <c r="C13" s="2"/>
      <c r="D13" s="2"/>
      <c r="E13" s="2" t="s">
        <v>81</v>
      </c>
      <c r="F13" s="2" t="s">
        <v>81</v>
      </c>
      <c r="G13" s="2" t="s">
        <v>55</v>
      </c>
      <c r="H13" s="2"/>
      <c r="I13" s="2"/>
      <c r="J13" s="2" t="s">
        <v>56</v>
      </c>
      <c r="K13" s="2"/>
    </row>
    <row r="14" spans="1:11" x14ac:dyDescent="0.2">
      <c r="B14" s="2" t="s">
        <v>59</v>
      </c>
      <c r="C14" s="2"/>
      <c r="D14" s="2"/>
      <c r="E14" s="2" t="s">
        <v>82</v>
      </c>
      <c r="F14" s="2" t="s">
        <v>83</v>
      </c>
      <c r="G14" s="2" t="s">
        <v>60</v>
      </c>
      <c r="H14" s="2" t="s">
        <v>95</v>
      </c>
      <c r="I14" s="2" t="s">
        <v>96</v>
      </c>
      <c r="J14" s="2"/>
      <c r="K14" s="2"/>
    </row>
    <row r="15" spans="1:11" x14ac:dyDescent="0.2">
      <c r="B15" s="2" t="s">
        <v>47</v>
      </c>
      <c r="C15" s="2"/>
      <c r="D15" s="2"/>
      <c r="E15" s="2" t="s">
        <v>84</v>
      </c>
      <c r="F15" s="2"/>
      <c r="G15" s="2" t="s">
        <v>46</v>
      </c>
      <c r="H15" s="2" t="s">
        <v>97</v>
      </c>
      <c r="I15" s="2" t="s">
        <v>94</v>
      </c>
      <c r="J15" s="2"/>
      <c r="K15" s="2"/>
    </row>
    <row r="16" spans="1:1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2:1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2:1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2:11" x14ac:dyDescent="0.2"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2:11" x14ac:dyDescent="0.2">
      <c r="B20" s="4">
        <f>COUNTA(B4:B19)</f>
        <v>12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Rates</vt:lpstr>
      <vt:lpstr>Exchanges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</dc:creator>
  <cp:lastModifiedBy>mathieu</cp:lastModifiedBy>
  <dcterms:created xsi:type="dcterms:W3CDTF">2014-08-31T09:13:58Z</dcterms:created>
  <dcterms:modified xsi:type="dcterms:W3CDTF">2014-10-26T14:14:04Z</dcterms:modified>
</cp:coreProperties>
</file>